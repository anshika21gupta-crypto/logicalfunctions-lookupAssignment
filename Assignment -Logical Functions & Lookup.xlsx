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c17976bd757f41d8/Desktop/EXCEL/ASSIGN 3 LOGICAL LOOK UP/"/>
    </mc:Choice>
  </mc:AlternateContent>
  <xr:revisionPtr revIDLastSave="325" documentId="11_F25DC773A252ABDACC1048A8915E7CE05BDE58E1" xr6:coauthVersionLast="47" xr6:coauthVersionMax="47" xr10:uidLastSave="{FF4A51A0-0F1E-4786-9C23-9E73DD716566}"/>
  <bookViews>
    <workbookView xWindow="-108" yWindow="-108" windowWidth="23256" windowHeight="12456" activeTab="1" xr2:uid="{00000000-000D-0000-FFFF-FFFF00000000}"/>
  </bookViews>
  <sheets>
    <sheet name="Q1,Q2." sheetId="1" r:id="rId1"/>
    <sheet name="Q3,Q4" sheetId="2" r:id="rId2"/>
    <sheet name="Q5,Q6" sheetId="3" r:id="rId3"/>
    <sheet name="Q7,Q8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4" l="1"/>
  <c r="B9" i="4"/>
  <c r="D27" i="3"/>
  <c r="D28" i="3"/>
  <c r="D26" i="3"/>
  <c r="C18" i="3"/>
  <c r="B21" i="2"/>
  <c r="C3" i="2"/>
  <c r="C4" i="2"/>
  <c r="C5" i="2"/>
  <c r="C6" i="2"/>
  <c r="C2" i="2"/>
  <c r="D15" i="1"/>
  <c r="D16" i="1"/>
  <c r="D17" i="1"/>
  <c r="D14" i="1"/>
  <c r="C3" i="1"/>
  <c r="C4" i="1"/>
  <c r="C5" i="1"/>
  <c r="C6" i="1"/>
  <c r="C2" i="1"/>
</calcChain>
</file>

<file path=xl/sharedStrings.xml><?xml version="1.0" encoding="utf-8"?>
<sst xmlns="http://schemas.openxmlformats.org/spreadsheetml/2006/main" count="100" uniqueCount="82">
  <si>
    <t>Q1.Write a formula to check if the marks in cell B2 are greater than or equal to 40. If yes, return ,  "Pass",otherwise "Fail".</t>
  </si>
  <si>
    <t>STUDENT NAME</t>
  </si>
  <si>
    <t>MARKS</t>
  </si>
  <si>
    <t>Riya</t>
  </si>
  <si>
    <t>Siya</t>
  </si>
  <si>
    <t>Raju</t>
  </si>
  <si>
    <t>Rahul</t>
  </si>
  <si>
    <t>Ram</t>
  </si>
  <si>
    <t>RESULT</t>
  </si>
  <si>
    <t>FORMULA=IF(B2&gt;=40,"PASS","FAIL")</t>
  </si>
  <si>
    <t>Q2. A company gives a bonus if sales are above 40,000 and attendance is greater than or equal to 90%. Write a formula to calculate whether the employee will get a bonus or not.</t>
  </si>
  <si>
    <t>EMPLOYEE</t>
  </si>
  <si>
    <t>SALES</t>
  </si>
  <si>
    <t>ATTENDANCE</t>
  </si>
  <si>
    <t>Arjun</t>
  </si>
  <si>
    <t>Simran</t>
  </si>
  <si>
    <t>Rohit</t>
  </si>
  <si>
    <t>Anjali</t>
  </si>
  <si>
    <t>FORMULA=IF(AND(B13&gt;40000,C13&gt;=90%),"BONUS","NO BONUS")</t>
  </si>
  <si>
    <t>BONUS/NO BONUS</t>
  </si>
  <si>
    <t>If marks in B2 are ≥ 90 → "A", ≥ 75 → "B", ≥ 50 → "C", otherwise "Fail".</t>
  </si>
  <si>
    <t>Raj</t>
  </si>
  <si>
    <t>Neha</t>
  </si>
  <si>
    <t>Vivek</t>
  </si>
  <si>
    <t>Rani</t>
  </si>
  <si>
    <t>Sneha</t>
  </si>
  <si>
    <t>GRADE</t>
  </si>
  <si>
    <t>FORMULA=IF(B2&gt;=90,"A",IF(B2&gt;=75,"B",IF(B2&gt;=50,"C","FAIL")))</t>
  </si>
  <si>
    <t>Q3. Write a nested IF formula:_x000B_</t>
  </si>
  <si>
    <t>Q4. Find the Department of Employee ID = E103. Also explain which LOOKUP function is used and why?</t>
  </si>
  <si>
    <t>EMP ID</t>
  </si>
  <si>
    <t>NAME</t>
  </si>
  <si>
    <t>DEPARTMENT</t>
  </si>
  <si>
    <t>E101</t>
  </si>
  <si>
    <t>E102</t>
  </si>
  <si>
    <t>E103</t>
  </si>
  <si>
    <t>E104</t>
  </si>
  <si>
    <t>IT</t>
  </si>
  <si>
    <t>HR</t>
  </si>
  <si>
    <t>Finance</t>
  </si>
  <si>
    <t>Sales</t>
  </si>
  <si>
    <t>Roshni</t>
  </si>
  <si>
    <t>Sejal</t>
  </si>
  <si>
    <t>formula==VLOOKUP(A18,A15:C19,3,FALSE)</t>
  </si>
  <si>
    <r>
      <t>VLOOKUP</t>
    </r>
    <r>
      <rPr>
        <sz val="11"/>
        <color theme="1"/>
        <rFont val="Calibri"/>
        <family val="2"/>
        <scheme val="minor"/>
      </rPr>
      <t xml:space="preserve"> is used because the </t>
    </r>
    <r>
      <rPr>
        <b/>
        <sz val="11"/>
        <color theme="1"/>
        <rFont val="Calibri"/>
        <family val="2"/>
        <scheme val="minor"/>
      </rPr>
      <t>Employee ID</t>
    </r>
    <r>
      <rPr>
        <sz val="11"/>
        <color theme="1"/>
        <rFont val="Calibri"/>
        <family val="2"/>
        <scheme val="minor"/>
      </rPr>
      <t xml:space="preserve"> is in the </t>
    </r>
    <r>
      <rPr>
        <b/>
        <sz val="11"/>
        <color theme="1"/>
        <rFont val="Calibri"/>
        <family val="2"/>
        <scheme val="minor"/>
      </rPr>
      <t>first (leftmost) column</t>
    </r>
    <r>
      <rPr>
        <sz val="11"/>
        <color theme="1"/>
        <rFont val="Calibri"/>
        <family val="2"/>
        <scheme val="minor"/>
      </rPr>
      <t xml:space="preserve"> of the table.</t>
    </r>
  </si>
  <si>
    <r>
      <t xml:space="preserve">It searches vertically for </t>
    </r>
    <r>
      <rPr>
        <b/>
        <sz val="11"/>
        <color theme="1"/>
        <rFont val="Calibri"/>
        <family val="2"/>
        <scheme val="minor"/>
      </rPr>
      <t>E103</t>
    </r>
    <r>
      <rPr>
        <sz val="11"/>
        <color theme="1"/>
        <rFont val="Calibri"/>
        <family val="2"/>
        <scheme val="minor"/>
      </rPr>
      <t xml:space="preserve"> in column A.</t>
    </r>
  </si>
  <si>
    <r>
      <t xml:space="preserve">The value is returned from the </t>
    </r>
    <r>
      <rPr>
        <b/>
        <sz val="11"/>
        <color theme="1"/>
        <rFont val="Calibri"/>
        <family val="2"/>
        <scheme val="minor"/>
      </rPr>
      <t>3rd column (Department)</t>
    </r>
    <r>
      <rPr>
        <sz val="11"/>
        <color theme="1"/>
        <rFont val="Calibri"/>
        <family val="2"/>
        <scheme val="minor"/>
      </rPr>
      <t>.</t>
    </r>
  </si>
  <si>
    <r>
      <t>FALSE</t>
    </r>
    <r>
      <rPr>
        <sz val="11"/>
        <color theme="1"/>
        <rFont val="Calibri"/>
        <family val="2"/>
        <scheme val="minor"/>
      </rPr>
      <t xml:space="preserve"> ensures an </t>
    </r>
    <r>
      <rPr>
        <b/>
        <sz val="11"/>
        <color theme="1"/>
        <rFont val="Calibri"/>
        <family val="2"/>
        <scheme val="minor"/>
      </rPr>
      <t>exact match</t>
    </r>
    <r>
      <rPr>
        <sz val="11"/>
        <color theme="1"/>
        <rFont val="Calibri"/>
        <family val="2"/>
        <scheme val="minor"/>
      </rPr>
      <t>.</t>
    </r>
  </si>
  <si>
    <r>
      <t>LOOKUP function used: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VLOOKUP</t>
    </r>
  </si>
  <si>
    <t>SALES AMOUNT</t>
  </si>
  <si>
    <t>COMMISSION RATE</t>
  </si>
  <si>
    <t>If a salesperson achieves sales of ₹45,000, use the VLOOKUP function to determine the commission rate applicable.</t>
  </si>
  <si>
    <t>Q5.A company has set the following commission structure for its sales team</t>
  </si>
  <si>
    <t xml:space="preserve">SALES </t>
  </si>
  <si>
    <t>FORMULA=VLOOKUP(C17,A11:B15,2,TRUE)</t>
  </si>
  <si>
    <t>ANSWER</t>
  </si>
  <si>
    <t>Q6. The HR department maintains the following leave records of employees:Bonus or not</t>
  </si>
  <si>
    <t>Write an IF function to check whether an employee has Exceeded their allowed leave balance.</t>
  </si>
  <si>
    <t>If Leaves Taken &gt; Allowed Leaves, display "Exceeded".</t>
  </si>
  <si>
    <t>Otherwise, display "OK". </t>
  </si>
  <si>
    <t>Employee Name</t>
  </si>
  <si>
    <t>Leave Taken</t>
  </si>
  <si>
    <t>leave Allowed</t>
  </si>
  <si>
    <t>Alex</t>
  </si>
  <si>
    <t>Bob</t>
  </si>
  <si>
    <t>Anna</t>
  </si>
  <si>
    <t>STATUS</t>
  </si>
  <si>
    <t>FORMULA=IF(B26&gt;C26,"Exceeded","OK")</t>
  </si>
  <si>
    <t>SALARY</t>
  </si>
  <si>
    <t>E105</t>
  </si>
  <si>
    <t>E106</t>
  </si>
  <si>
    <t>E107</t>
  </si>
  <si>
    <t xml:space="preserve">EMP ID </t>
  </si>
  <si>
    <t>FORMULA=INDEX(B3:B6,MATCH(C8,A3:A6,0))</t>
  </si>
  <si>
    <t>ANS.</t>
  </si>
  <si>
    <t>Q8.Use the XLOOKUP function to find the Department of the employee with Emp ID = E303</t>
  </si>
  <si>
    <t>FINANCE</t>
  </si>
  <si>
    <t>E303</t>
  </si>
  <si>
    <t>E301</t>
  </si>
  <si>
    <t>Q7.Find the salary of EmpID = E105 using INDEX-MATCH Function.</t>
  </si>
  <si>
    <t>DEPARTMENT FOR EMP ID=</t>
  </si>
  <si>
    <t>FORMULA=XLOOKUP(C19,A15:A18,B15:B18,"NOT PRESENT",0,1)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</si>
</sst>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3" fillId="2" borderId="1" xfId="0" applyFont="1" applyFill="1" applyBorder="1"/>
    <xf numFmtId="0" fontId="0" fillId="2" borderId="1" xfId="0" applyFill="1" applyBorder="1"/>
    <xf numFmtId="0" fontId="0" fillId="2" borderId="0" xfId="0" applyFill="1"/>
    <xf numFmtId="0" fontId="2" fillId="0" borderId="0" xfId="0" applyFont="1"/>
    <xf numFmtId="0" fontId="2" fillId="0" borderId="2" xfId="0" applyFont="1" applyBorder="1"/>
    <xf numFmtId="0" fontId="0" fillId="0" borderId="2" xfId="0" applyBorder="1"/>
    <xf numFmtId="0" fontId="2" fillId="2" borderId="0" xfId="0" applyFont="1" applyFill="1"/>
    <xf numFmtId="0" fontId="2" fillId="3" borderId="0" xfId="0" applyFont="1" applyFill="1"/>
    <xf numFmtId="0" fontId="0" fillId="3" borderId="0" xfId="0" applyFill="1"/>
    <xf numFmtId="9" fontId="2" fillId="0" borderId="0" xfId="1" applyFont="1"/>
    <xf numFmtId="9" fontId="0" fillId="2" borderId="0" xfId="0" applyNumberFormat="1" applyFill="1"/>
    <xf numFmtId="0" fontId="0" fillId="0" borderId="0" xfId="0" applyFill="1"/>
    <xf numFmtId="0" fontId="0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91440</xdr:colOff>
      <xdr:row>11</xdr:row>
      <xdr:rowOff>60960</xdr:rowOff>
    </xdr:from>
    <xdr:to>
      <xdr:col>15</xdr:col>
      <xdr:colOff>282168</xdr:colOff>
      <xdr:row>20</xdr:row>
      <xdr:rowOff>129689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C24A19-7186-9B23-D625-8DC1D90E4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51420" y="1889760"/>
          <a:ext cx="2629128" cy="17146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335280</xdr:colOff>
      <xdr:row>0</xdr:row>
      <xdr:rowOff>30480</xdr:rowOff>
    </xdr:from>
    <xdr:to>
      <xdr:col>13</xdr:col>
      <xdr:colOff>388836</xdr:colOff>
      <xdr:row>10</xdr:row>
      <xdr:rowOff>167810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E3DC31-5648-BC4E-C2D8-1C10E91BF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47460" y="30480"/>
          <a:ext cx="2491956" cy="196613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12</xdr:col>
      <xdr:colOff>76418</xdr:colOff>
      <xdr:row>23</xdr:row>
      <xdr:rowOff>68729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91F75E-1DBC-E97A-128F-EB2095376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02580" y="2560320"/>
          <a:ext cx="2514818" cy="17146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24</xdr:row>
      <xdr:rowOff>0</xdr:rowOff>
    </xdr:from>
    <xdr:to>
      <xdr:col>12</xdr:col>
      <xdr:colOff>244178</xdr:colOff>
      <xdr:row>31</xdr:row>
      <xdr:rowOff>15352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DAF61E-C71F-383C-8DC2-CDA5456D1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42560" y="3840480"/>
          <a:ext cx="3901778" cy="12955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14</xdr:row>
      <xdr:rowOff>0</xdr:rowOff>
    </xdr:from>
    <xdr:to>
      <xdr:col>13</xdr:col>
      <xdr:colOff>472587</xdr:colOff>
      <xdr:row>23</xdr:row>
      <xdr:rowOff>91591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11EFD6-EE6C-B3DD-BEBD-39F33ECCC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560320"/>
          <a:ext cx="1691787" cy="173751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2"/>
  <sheetViews>
    <sheetView topLeftCell="A5" workbookViewId="0">
      <selection activeCell="A24" sqref="A24:F26"/>
    </sheetView>
  </sheetViews>
  <sheetFormatPr defaultRowHeight="14.4" x14ac:dyDescent="0.3"/>
  <cols>
    <col min="1" max="1" width="15.33203125" customWidth="1"/>
    <col min="3" max="3" width="12.21875" bestFit="1" customWidth="1"/>
    <col min="4" max="4" width="17.44140625" bestFit="1" customWidth="1"/>
  </cols>
  <sheetData>
    <row r="1" spans="1:21" x14ac:dyDescent="0.3">
      <c r="A1" s="3" t="s">
        <v>1</v>
      </c>
      <c r="B1" s="3" t="s">
        <v>2</v>
      </c>
      <c r="C1" s="4" t="s">
        <v>8</v>
      </c>
    </row>
    <row r="2" spans="1:21" x14ac:dyDescent="0.3">
      <c r="A2" s="2" t="s">
        <v>3</v>
      </c>
      <c r="B2" s="1">
        <v>45</v>
      </c>
      <c r="C2" s="5" t="str">
        <f>IF(B2&gt;=40,"PASS","FAIL")</f>
        <v>PASS</v>
      </c>
      <c r="E2" s="6" t="s">
        <v>9</v>
      </c>
      <c r="F2" s="6"/>
      <c r="G2" s="6"/>
      <c r="H2" s="6"/>
    </row>
    <row r="3" spans="1:21" x14ac:dyDescent="0.3">
      <c r="A3" s="2" t="s">
        <v>4</v>
      </c>
      <c r="B3" s="1">
        <v>72</v>
      </c>
      <c r="C3" s="5" t="str">
        <f t="shared" ref="C3:C6" si="0">IF(B3&gt;=40,"PASS","FAIL")</f>
        <v>PASS</v>
      </c>
    </row>
    <row r="4" spans="1:21" x14ac:dyDescent="0.3">
      <c r="A4" s="2" t="s">
        <v>5</v>
      </c>
      <c r="B4" s="1">
        <v>55</v>
      </c>
      <c r="C4" s="5" t="str">
        <f t="shared" si="0"/>
        <v>PASS</v>
      </c>
    </row>
    <row r="5" spans="1:21" x14ac:dyDescent="0.3">
      <c r="A5" s="2" t="s">
        <v>6</v>
      </c>
      <c r="B5" s="1">
        <v>80</v>
      </c>
      <c r="C5" s="5" t="str">
        <f t="shared" si="0"/>
        <v>PASS</v>
      </c>
    </row>
    <row r="6" spans="1:21" x14ac:dyDescent="0.3">
      <c r="A6" s="2" t="s">
        <v>7</v>
      </c>
      <c r="B6" s="1">
        <v>30</v>
      </c>
      <c r="C6" s="5" t="str">
        <f t="shared" si="0"/>
        <v>FAIL</v>
      </c>
    </row>
    <row r="8" spans="1:21" x14ac:dyDescent="0.3">
      <c r="A8" s="7" t="s">
        <v>0</v>
      </c>
      <c r="B8" s="7"/>
      <c r="C8" s="7"/>
      <c r="D8" s="7"/>
      <c r="E8" s="7"/>
      <c r="F8" s="7"/>
      <c r="G8" s="7"/>
      <c r="H8" s="7"/>
      <c r="I8" s="7"/>
      <c r="J8" s="7"/>
      <c r="K8" s="7"/>
    </row>
    <row r="9" spans="1:21" x14ac:dyDescent="0.3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9"/>
      <c r="M9" s="9"/>
      <c r="N9" s="9"/>
      <c r="O9" s="9"/>
      <c r="P9" s="9"/>
      <c r="Q9" s="9"/>
      <c r="R9" s="9"/>
      <c r="S9" s="9"/>
      <c r="T9" s="9"/>
      <c r="U9" s="9"/>
    </row>
    <row r="11" spans="1:21" x14ac:dyDescent="0.3">
      <c r="A11" s="7" t="s">
        <v>10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3" spans="1:21" x14ac:dyDescent="0.3">
      <c r="A13" s="3" t="s">
        <v>11</v>
      </c>
      <c r="B13" s="3" t="s">
        <v>12</v>
      </c>
      <c r="C13" s="3" t="s">
        <v>13</v>
      </c>
      <c r="D13" s="4" t="s">
        <v>19</v>
      </c>
    </row>
    <row r="14" spans="1:21" x14ac:dyDescent="0.3">
      <c r="A14" s="1" t="s">
        <v>14</v>
      </c>
      <c r="B14" s="1">
        <v>55000</v>
      </c>
      <c r="C14" s="1">
        <v>95</v>
      </c>
      <c r="D14" s="5" t="str">
        <f>IF(AND(B14&gt;40000,C14&gt;=90),"BONUS","NO BONUS")</f>
        <v>BONUS</v>
      </c>
      <c r="E14" s="6" t="s">
        <v>18</v>
      </c>
      <c r="F14" s="6"/>
      <c r="G14" s="6"/>
      <c r="H14" s="6"/>
      <c r="I14" s="6"/>
      <c r="J14" s="6"/>
      <c r="K14" s="6"/>
    </row>
    <row r="15" spans="1:21" x14ac:dyDescent="0.3">
      <c r="A15" s="1" t="s">
        <v>15</v>
      </c>
      <c r="B15" s="1">
        <v>65000</v>
      </c>
      <c r="C15" s="1">
        <v>85</v>
      </c>
      <c r="D15" s="5" t="str">
        <f t="shared" ref="D15:D17" si="1">IF(AND(B15&gt;40000,C15&gt;=90),"BONUS","NO BONUS")</f>
        <v>NO BONUS</v>
      </c>
    </row>
    <row r="16" spans="1:21" x14ac:dyDescent="0.3">
      <c r="A16" s="1" t="s">
        <v>16</v>
      </c>
      <c r="B16" s="1">
        <v>30000</v>
      </c>
      <c r="C16" s="1">
        <v>90</v>
      </c>
      <c r="D16" s="5" t="str">
        <f t="shared" si="1"/>
        <v>NO BONUS</v>
      </c>
    </row>
    <row r="17" spans="1:22" x14ac:dyDescent="0.3">
      <c r="A17" s="1" t="s">
        <v>17</v>
      </c>
      <c r="B17" s="1">
        <v>25000</v>
      </c>
      <c r="C17" s="1">
        <v>65</v>
      </c>
      <c r="D17" s="5" t="str">
        <f t="shared" si="1"/>
        <v>NO BONUS</v>
      </c>
    </row>
    <row r="22" spans="1:22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DA33A-3AE3-4184-AC36-971B516B219A}">
  <dimension ref="A1:S29"/>
  <sheetViews>
    <sheetView tabSelected="1" topLeftCell="A14" workbookViewId="0">
      <selection activeCell="E36" sqref="E36"/>
    </sheetView>
  </sheetViews>
  <sheetFormatPr defaultRowHeight="14.4" x14ac:dyDescent="0.3"/>
  <cols>
    <col min="1" max="1" width="16.5546875" customWidth="1"/>
  </cols>
  <sheetData>
    <row r="1" spans="1:19" x14ac:dyDescent="0.3">
      <c r="A1" s="3" t="s">
        <v>1</v>
      </c>
      <c r="B1" s="3" t="s">
        <v>2</v>
      </c>
      <c r="C1" s="4" t="s">
        <v>26</v>
      </c>
    </row>
    <row r="2" spans="1:19" x14ac:dyDescent="0.3">
      <c r="A2" s="1" t="s">
        <v>21</v>
      </c>
      <c r="B2" s="1">
        <v>85</v>
      </c>
      <c r="C2" s="5" t="str">
        <f>IF(B2&gt;=90,"A",IF(B2&gt;=75,"B",IF(B2&gt;=50,"C","FAIL")))</f>
        <v>B</v>
      </c>
      <c r="D2" s="6" t="s">
        <v>27</v>
      </c>
      <c r="E2" s="6"/>
      <c r="F2" s="6"/>
      <c r="G2" s="6"/>
      <c r="H2" s="6"/>
      <c r="I2" s="6"/>
    </row>
    <row r="3" spans="1:19" x14ac:dyDescent="0.3">
      <c r="A3" s="1" t="s">
        <v>22</v>
      </c>
      <c r="B3" s="1">
        <v>96</v>
      </c>
      <c r="C3" s="5" t="str">
        <f t="shared" ref="C3:C6" si="0">IF(B3&gt;=90,"A",IF(B3&gt;=75,"B",IF(B3&gt;=50,"C","FAIL")))</f>
        <v>A</v>
      </c>
    </row>
    <row r="4" spans="1:19" x14ac:dyDescent="0.3">
      <c r="A4" s="1" t="s">
        <v>23</v>
      </c>
      <c r="B4" s="1">
        <v>57</v>
      </c>
      <c r="C4" s="5" t="str">
        <f t="shared" si="0"/>
        <v>C</v>
      </c>
    </row>
    <row r="5" spans="1:19" x14ac:dyDescent="0.3">
      <c r="A5" s="1" t="s">
        <v>24</v>
      </c>
      <c r="B5" s="1">
        <v>92</v>
      </c>
      <c r="C5" s="5" t="str">
        <f t="shared" si="0"/>
        <v>A</v>
      </c>
    </row>
    <row r="6" spans="1:19" x14ac:dyDescent="0.3">
      <c r="A6" s="1" t="s">
        <v>25</v>
      </c>
      <c r="B6" s="1">
        <v>75</v>
      </c>
      <c r="C6" s="5" t="str">
        <f t="shared" si="0"/>
        <v>B</v>
      </c>
    </row>
    <row r="9" spans="1:19" x14ac:dyDescent="0.3">
      <c r="A9" s="7" t="s">
        <v>28</v>
      </c>
    </row>
    <row r="10" spans="1:19" x14ac:dyDescent="0.3">
      <c r="A10" s="7" t="s">
        <v>20</v>
      </c>
      <c r="B10" s="7"/>
      <c r="C10" s="7"/>
      <c r="D10" s="7"/>
      <c r="E10" s="7"/>
      <c r="F10" s="7"/>
    </row>
    <row r="12" spans="1:19" x14ac:dyDescent="0.3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</row>
    <row r="14" spans="1:19" x14ac:dyDescent="0.3">
      <c r="A14" s="7" t="s">
        <v>29</v>
      </c>
      <c r="B14" s="7"/>
      <c r="C14" s="7"/>
      <c r="D14" s="7"/>
      <c r="E14" s="7"/>
      <c r="F14" s="7"/>
      <c r="G14" s="7"/>
      <c r="H14" s="7"/>
      <c r="I14" s="7"/>
    </row>
    <row r="15" spans="1:19" x14ac:dyDescent="0.3">
      <c r="A15" t="s">
        <v>30</v>
      </c>
      <c r="B15" t="s">
        <v>31</v>
      </c>
      <c r="C15" t="s">
        <v>32</v>
      </c>
    </row>
    <row r="16" spans="1:19" x14ac:dyDescent="0.3">
      <c r="A16" t="s">
        <v>33</v>
      </c>
      <c r="B16" t="s">
        <v>5</v>
      </c>
      <c r="C16" t="s">
        <v>37</v>
      </c>
    </row>
    <row r="17" spans="1:8" x14ac:dyDescent="0.3">
      <c r="A17" t="s">
        <v>34</v>
      </c>
      <c r="B17" t="s">
        <v>3</v>
      </c>
      <c r="C17" t="s">
        <v>38</v>
      </c>
    </row>
    <row r="18" spans="1:8" x14ac:dyDescent="0.3">
      <c r="A18" t="s">
        <v>35</v>
      </c>
      <c r="B18" t="s">
        <v>41</v>
      </c>
      <c r="C18" t="s">
        <v>39</v>
      </c>
    </row>
    <row r="19" spans="1:8" x14ac:dyDescent="0.3">
      <c r="A19" t="s">
        <v>36</v>
      </c>
      <c r="B19" t="s">
        <v>42</v>
      </c>
      <c r="C19" t="s">
        <v>40</v>
      </c>
    </row>
    <row r="21" spans="1:8" x14ac:dyDescent="0.3">
      <c r="A21" s="6"/>
      <c r="B21" s="6" t="str">
        <f>VLOOKUP(A18,A15:C19,3,FALSE)</f>
        <v>Finance</v>
      </c>
      <c r="C21" s="6" t="s">
        <v>43</v>
      </c>
      <c r="D21" s="6"/>
      <c r="E21" s="6"/>
      <c r="F21" s="6"/>
      <c r="G21" s="6"/>
      <c r="H21" s="6"/>
    </row>
    <row r="22" spans="1:8" x14ac:dyDescent="0.3">
      <c r="A22" s="10" t="s">
        <v>44</v>
      </c>
      <c r="B22" s="6"/>
      <c r="C22" s="6"/>
      <c r="D22" s="6"/>
      <c r="E22" s="6"/>
      <c r="F22" s="6"/>
      <c r="G22" s="6"/>
      <c r="H22" s="6"/>
    </row>
    <row r="23" spans="1:8" x14ac:dyDescent="0.3">
      <c r="A23" s="11" t="s">
        <v>48</v>
      </c>
      <c r="B23" s="12"/>
      <c r="C23" s="12"/>
      <c r="D23" s="6"/>
      <c r="E23" s="6"/>
      <c r="F23" s="6"/>
      <c r="G23" s="6"/>
      <c r="H23" s="6"/>
    </row>
    <row r="24" spans="1:8" x14ac:dyDescent="0.3">
      <c r="A24" s="6" t="s">
        <v>45</v>
      </c>
      <c r="B24" s="6"/>
      <c r="C24" s="6"/>
      <c r="D24" s="6"/>
      <c r="E24" s="6"/>
      <c r="F24" s="6"/>
      <c r="G24" s="6"/>
      <c r="H24" s="6"/>
    </row>
    <row r="25" spans="1:8" x14ac:dyDescent="0.3">
      <c r="A25" s="6"/>
      <c r="B25" s="6"/>
      <c r="C25" s="6"/>
      <c r="D25" s="6"/>
      <c r="E25" s="6"/>
      <c r="F25" s="6"/>
      <c r="G25" s="6"/>
      <c r="H25" s="6"/>
    </row>
    <row r="26" spans="1:8" x14ac:dyDescent="0.3">
      <c r="A26" s="6" t="s">
        <v>46</v>
      </c>
      <c r="B26" s="6"/>
      <c r="C26" s="6"/>
      <c r="D26" s="6"/>
      <c r="E26" s="6"/>
      <c r="F26" s="6"/>
      <c r="G26" s="6"/>
      <c r="H26" s="6"/>
    </row>
    <row r="27" spans="1:8" x14ac:dyDescent="0.3">
      <c r="A27" s="6"/>
      <c r="B27" s="6"/>
      <c r="C27" s="6"/>
      <c r="D27" s="6"/>
      <c r="E27" s="6"/>
      <c r="F27" s="6"/>
      <c r="G27" s="6"/>
      <c r="H27" s="6"/>
    </row>
    <row r="28" spans="1:8" x14ac:dyDescent="0.3">
      <c r="A28" s="10" t="s">
        <v>47</v>
      </c>
      <c r="B28" s="6"/>
      <c r="C28" s="6"/>
      <c r="D28" s="6"/>
      <c r="E28" s="6"/>
      <c r="F28" s="6"/>
      <c r="G28" s="6"/>
      <c r="H28" s="6"/>
    </row>
    <row r="29" spans="1:8" x14ac:dyDescent="0.3">
      <c r="A29" s="6"/>
      <c r="B29" s="6"/>
      <c r="C29" s="6"/>
      <c r="D29" s="6"/>
      <c r="E29" s="6"/>
      <c r="F29" s="6"/>
      <c r="G29" s="6"/>
      <c r="H29" s="6"/>
    </row>
  </sheetData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212F4-EDBF-4F84-BBA6-7AC6DE83D776}">
  <dimension ref="A1:AE35"/>
  <sheetViews>
    <sheetView workbookViewId="0">
      <selection activeCell="C1" sqref="C1"/>
    </sheetView>
  </sheetViews>
  <sheetFormatPr defaultRowHeight="14.4" x14ac:dyDescent="0.3"/>
  <cols>
    <col min="1" max="1" width="15.5546875" customWidth="1"/>
    <col min="2" max="2" width="25.33203125" customWidth="1"/>
    <col min="3" max="3" width="12.33203125" bestFit="1" customWidth="1"/>
  </cols>
  <sheetData>
    <row r="1" spans="1:9" x14ac:dyDescent="0.3">
      <c r="A1" s="7" t="s">
        <v>52</v>
      </c>
      <c r="B1" s="7"/>
      <c r="C1" s="7"/>
      <c r="D1" s="7"/>
      <c r="E1" s="7"/>
      <c r="F1" s="7"/>
      <c r="G1" s="7"/>
      <c r="H1" s="7"/>
      <c r="I1" s="7"/>
    </row>
    <row r="2" spans="1:9" x14ac:dyDescent="0.3">
      <c r="A2" s="7" t="s">
        <v>49</v>
      </c>
      <c r="B2" s="7" t="s">
        <v>50</v>
      </c>
      <c r="C2" s="7"/>
      <c r="D2" s="7"/>
      <c r="E2" s="7"/>
      <c r="F2" s="7"/>
      <c r="G2" s="7"/>
      <c r="H2" s="7"/>
      <c r="I2" s="7"/>
    </row>
    <row r="3" spans="1:9" x14ac:dyDescent="0.3">
      <c r="A3" s="7">
        <v>0</v>
      </c>
      <c r="B3" s="13">
        <v>0.05</v>
      </c>
      <c r="C3" s="7"/>
      <c r="D3" s="7"/>
      <c r="E3" s="7"/>
      <c r="F3" s="7"/>
      <c r="G3" s="7"/>
      <c r="H3" s="7"/>
      <c r="I3" s="7"/>
    </row>
    <row r="4" spans="1:9" x14ac:dyDescent="0.3">
      <c r="A4" s="7">
        <v>20000</v>
      </c>
      <c r="B4" s="13">
        <v>0.1</v>
      </c>
      <c r="C4" s="7"/>
      <c r="D4" s="7"/>
      <c r="E4" s="7"/>
      <c r="F4" s="7"/>
      <c r="G4" s="7"/>
      <c r="H4" s="7"/>
      <c r="I4" s="7"/>
    </row>
    <row r="5" spans="1:9" x14ac:dyDescent="0.3">
      <c r="A5" s="7">
        <v>50000</v>
      </c>
      <c r="B5" s="13">
        <v>0.15</v>
      </c>
      <c r="C5" s="7"/>
      <c r="D5" s="7"/>
      <c r="E5" s="7"/>
      <c r="F5" s="7"/>
      <c r="G5" s="7"/>
      <c r="H5" s="7"/>
      <c r="I5" s="7"/>
    </row>
    <row r="6" spans="1:9" x14ac:dyDescent="0.3">
      <c r="A6" s="7">
        <v>80000</v>
      </c>
      <c r="B6" s="13">
        <v>0.2</v>
      </c>
      <c r="C6" s="7"/>
      <c r="D6" s="7"/>
      <c r="E6" s="7"/>
      <c r="F6" s="7"/>
      <c r="G6" s="7"/>
      <c r="H6" s="7"/>
      <c r="I6" s="7"/>
    </row>
    <row r="7" spans="1:9" x14ac:dyDescent="0.3">
      <c r="A7" s="7" t="s">
        <v>51</v>
      </c>
      <c r="B7" s="7"/>
      <c r="C7" s="7"/>
      <c r="D7" s="7"/>
      <c r="E7" s="7"/>
      <c r="F7" s="7"/>
      <c r="G7" s="7"/>
      <c r="H7" s="7"/>
      <c r="I7" s="7"/>
    </row>
    <row r="10" spans="1:9" x14ac:dyDescent="0.3">
      <c r="A10" t="s">
        <v>55</v>
      </c>
    </row>
    <row r="11" spans="1:9" x14ac:dyDescent="0.3">
      <c r="A11" s="7" t="s">
        <v>49</v>
      </c>
      <c r="B11" s="7" t="s">
        <v>50</v>
      </c>
    </row>
    <row r="12" spans="1:9" x14ac:dyDescent="0.3">
      <c r="A12" s="7">
        <v>0</v>
      </c>
      <c r="B12" s="13">
        <v>0.05</v>
      </c>
    </row>
    <row r="13" spans="1:9" x14ac:dyDescent="0.3">
      <c r="A13" s="7">
        <v>20000</v>
      </c>
      <c r="B13" s="13">
        <v>0.1</v>
      </c>
    </row>
    <row r="14" spans="1:9" x14ac:dyDescent="0.3">
      <c r="A14" s="7">
        <v>50000</v>
      </c>
      <c r="B14" s="13">
        <v>0.15</v>
      </c>
    </row>
    <row r="15" spans="1:9" x14ac:dyDescent="0.3">
      <c r="A15" s="7">
        <v>80000</v>
      </c>
      <c r="B15" s="13">
        <v>0.2</v>
      </c>
    </row>
    <row r="17" spans="1:31" x14ac:dyDescent="0.3">
      <c r="A17" s="6"/>
      <c r="B17" s="6" t="s">
        <v>53</v>
      </c>
      <c r="C17" s="6">
        <v>45000</v>
      </c>
      <c r="D17" s="6"/>
    </row>
    <row r="18" spans="1:31" x14ac:dyDescent="0.3">
      <c r="A18" s="6" t="s">
        <v>54</v>
      </c>
      <c r="B18" s="6"/>
      <c r="C18" s="14">
        <f>VLOOKUP(C17,A11:B15,2,TRUE)</f>
        <v>0.1</v>
      </c>
      <c r="D18" s="6"/>
    </row>
    <row r="19" spans="1:31" x14ac:dyDescent="0.3">
      <c r="A19" s="6"/>
      <c r="B19" s="6"/>
      <c r="C19" s="6"/>
      <c r="D19" s="6"/>
    </row>
    <row r="22" spans="1:31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4" spans="1:31" x14ac:dyDescent="0.3">
      <c r="A24" t="s">
        <v>56</v>
      </c>
    </row>
    <row r="25" spans="1:31" x14ac:dyDescent="0.3">
      <c r="A25" s="3" t="s">
        <v>60</v>
      </c>
      <c r="B25" s="3" t="s">
        <v>61</v>
      </c>
      <c r="C25" s="3" t="s">
        <v>62</v>
      </c>
      <c r="D25" s="4" t="s">
        <v>66</v>
      </c>
    </row>
    <row r="26" spans="1:31" x14ac:dyDescent="0.3">
      <c r="A26" s="2" t="s">
        <v>63</v>
      </c>
      <c r="B26" s="1">
        <v>10</v>
      </c>
      <c r="C26" s="1">
        <v>12</v>
      </c>
      <c r="D26" s="5" t="str">
        <f>IF(B26&gt;C26,"Exceeded","OK")</f>
        <v>OK</v>
      </c>
    </row>
    <row r="27" spans="1:31" x14ac:dyDescent="0.3">
      <c r="A27" s="2" t="s">
        <v>64</v>
      </c>
      <c r="B27" s="1">
        <v>10</v>
      </c>
      <c r="C27" s="1">
        <v>15</v>
      </c>
      <c r="D27" s="5" t="str">
        <f t="shared" ref="D27:D28" si="0">IF(B27&gt;C27,"Exceeded","OK")</f>
        <v>OK</v>
      </c>
    </row>
    <row r="28" spans="1:31" x14ac:dyDescent="0.3">
      <c r="A28" s="2" t="s">
        <v>65</v>
      </c>
      <c r="B28" s="1">
        <v>8</v>
      </c>
      <c r="C28" s="1">
        <v>12</v>
      </c>
      <c r="D28" s="5" t="str">
        <f t="shared" si="0"/>
        <v>OK</v>
      </c>
    </row>
    <row r="30" spans="1:31" x14ac:dyDescent="0.3">
      <c r="A30" s="6"/>
      <c r="B30" s="6" t="s">
        <v>67</v>
      </c>
      <c r="C30" s="6"/>
    </row>
    <row r="31" spans="1:31" x14ac:dyDescent="0.3">
      <c r="A31" t="s">
        <v>57</v>
      </c>
    </row>
    <row r="33" spans="1:1" x14ac:dyDescent="0.3">
      <c r="A33" t="s">
        <v>58</v>
      </c>
    </row>
    <row r="35" spans="1:1" x14ac:dyDescent="0.3">
      <c r="A35" t="s">
        <v>59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C78B7-C94E-4A24-A7EB-FB4EAC25AC0B}">
  <dimension ref="A1:AF22"/>
  <sheetViews>
    <sheetView workbookViewId="0">
      <selection activeCell="B1" sqref="B1"/>
    </sheetView>
  </sheetViews>
  <sheetFormatPr defaultRowHeight="14.4" x14ac:dyDescent="0.3"/>
  <cols>
    <col min="2" max="2" width="23.88671875" bestFit="1" customWidth="1"/>
  </cols>
  <sheetData>
    <row r="1" spans="1:32" x14ac:dyDescent="0.3">
      <c r="A1" s="7" t="s">
        <v>79</v>
      </c>
      <c r="B1" s="7"/>
      <c r="C1" s="7"/>
      <c r="D1" s="7"/>
      <c r="E1" s="7"/>
      <c r="F1" s="7"/>
    </row>
    <row r="2" spans="1:32" x14ac:dyDescent="0.3">
      <c r="A2" s="7" t="s">
        <v>30</v>
      </c>
      <c r="B2" s="7" t="s">
        <v>68</v>
      </c>
      <c r="C2" s="7"/>
      <c r="D2" s="7"/>
      <c r="E2" s="7"/>
      <c r="F2" s="7"/>
    </row>
    <row r="3" spans="1:32" x14ac:dyDescent="0.3">
      <c r="A3" s="7" t="s">
        <v>36</v>
      </c>
      <c r="B3" s="7">
        <v>55000</v>
      </c>
      <c r="C3" s="7"/>
      <c r="D3" s="7"/>
      <c r="E3" s="7"/>
      <c r="F3" s="7"/>
    </row>
    <row r="4" spans="1:32" x14ac:dyDescent="0.3">
      <c r="A4" s="7" t="s">
        <v>69</v>
      </c>
      <c r="B4" s="7">
        <v>72000</v>
      </c>
      <c r="C4" s="7"/>
      <c r="D4" s="7"/>
      <c r="E4" s="7"/>
      <c r="F4" s="7"/>
    </row>
    <row r="5" spans="1:32" x14ac:dyDescent="0.3">
      <c r="A5" s="7" t="s">
        <v>70</v>
      </c>
      <c r="B5" s="7">
        <v>62000</v>
      </c>
      <c r="C5" s="7"/>
      <c r="D5" s="7"/>
      <c r="E5" s="7"/>
      <c r="F5" s="7"/>
    </row>
    <row r="6" spans="1:32" x14ac:dyDescent="0.3">
      <c r="A6" s="7" t="s">
        <v>71</v>
      </c>
      <c r="B6" s="7">
        <v>41000</v>
      </c>
      <c r="C6" s="7"/>
      <c r="D6" s="7"/>
      <c r="E6" s="7"/>
      <c r="F6" s="7"/>
    </row>
    <row r="8" spans="1:32" x14ac:dyDescent="0.3">
      <c r="B8" s="6" t="s">
        <v>72</v>
      </c>
      <c r="C8" s="6" t="s">
        <v>69</v>
      </c>
      <c r="D8" s="6"/>
      <c r="E8" s="6"/>
      <c r="F8" s="6"/>
      <c r="G8" s="6"/>
    </row>
    <row r="9" spans="1:32" x14ac:dyDescent="0.3">
      <c r="A9" t="s">
        <v>74</v>
      </c>
      <c r="B9" s="6">
        <f>INDEX(B3:B6,MATCH(C8,A3:A6,0))</f>
        <v>72000</v>
      </c>
      <c r="C9" s="6" t="s">
        <v>73</v>
      </c>
      <c r="D9" s="6"/>
      <c r="E9" s="6"/>
      <c r="F9" s="6"/>
      <c r="G9" s="6"/>
    </row>
    <row r="11" spans="1:32" x14ac:dyDescent="0.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3" spans="1:32" x14ac:dyDescent="0.3">
      <c r="A13" s="7" t="s">
        <v>75</v>
      </c>
      <c r="B13" s="7"/>
      <c r="C13" s="7"/>
      <c r="D13" s="7"/>
      <c r="E13" s="7"/>
      <c r="F13" s="7"/>
      <c r="G13" s="7"/>
      <c r="H13" s="7"/>
    </row>
    <row r="14" spans="1:32" x14ac:dyDescent="0.3">
      <c r="A14" s="7" t="s">
        <v>72</v>
      </c>
      <c r="B14" s="7" t="s">
        <v>68</v>
      </c>
      <c r="C14" s="7"/>
      <c r="D14" s="7"/>
      <c r="E14" s="7"/>
      <c r="F14" s="7"/>
      <c r="G14" s="7"/>
      <c r="H14" s="7"/>
    </row>
    <row r="15" spans="1:32" x14ac:dyDescent="0.3">
      <c r="A15" s="7" t="s">
        <v>33</v>
      </c>
      <c r="B15" s="7" t="s">
        <v>38</v>
      </c>
      <c r="C15" s="7"/>
      <c r="D15" s="7"/>
      <c r="E15" s="7"/>
      <c r="F15" s="7"/>
      <c r="G15" s="7"/>
      <c r="H15" s="7"/>
    </row>
    <row r="16" spans="1:32" x14ac:dyDescent="0.3">
      <c r="A16" s="7" t="s">
        <v>77</v>
      </c>
      <c r="B16" s="7" t="s">
        <v>37</v>
      </c>
      <c r="C16" s="7"/>
      <c r="D16" s="7"/>
      <c r="E16" s="7"/>
      <c r="F16" s="7"/>
      <c r="G16" s="7"/>
      <c r="H16" s="7"/>
    </row>
    <row r="17" spans="1:11" x14ac:dyDescent="0.3">
      <c r="A17" s="7" t="s">
        <v>70</v>
      </c>
      <c r="B17" s="7" t="s">
        <v>12</v>
      </c>
      <c r="C17" s="7"/>
      <c r="D17" s="7"/>
      <c r="E17" s="7"/>
      <c r="F17" s="7"/>
      <c r="G17" s="7"/>
      <c r="H17" s="7"/>
    </row>
    <row r="18" spans="1:11" x14ac:dyDescent="0.3">
      <c r="A18" s="7" t="s">
        <v>78</v>
      </c>
      <c r="B18" s="7" t="s">
        <v>76</v>
      </c>
      <c r="C18" s="7"/>
      <c r="D18" s="7"/>
      <c r="E18" s="7"/>
      <c r="F18" s="7"/>
      <c r="G18" s="7"/>
      <c r="H18" s="7"/>
    </row>
    <row r="19" spans="1:11" x14ac:dyDescent="0.3">
      <c r="B19" s="16" t="s">
        <v>72</v>
      </c>
      <c r="C19" t="s">
        <v>77</v>
      </c>
    </row>
    <row r="20" spans="1:11" x14ac:dyDescent="0.3">
      <c r="A20" s="15"/>
      <c r="B20" s="15"/>
      <c r="C20" s="15"/>
      <c r="D20" s="15"/>
      <c r="E20" s="15"/>
      <c r="F20" s="15"/>
      <c r="G20" s="15"/>
      <c r="H20" s="15"/>
      <c r="I20" s="15"/>
    </row>
    <row r="22" spans="1:11" x14ac:dyDescent="0.3">
      <c r="A22" s="6"/>
      <c r="B22" s="6" t="s">
        <v>80</v>
      </c>
      <c r="C22" s="6"/>
      <c r="D22" s="6" t="str">
        <f>_xlfn.XLOOKUP(C19,A15:A18,B15:B18,"NOT PRESENT",0,1)</f>
        <v>IT</v>
      </c>
      <c r="E22" s="6" t="s">
        <v>81</v>
      </c>
      <c r="F22" s="6"/>
      <c r="G22" s="6"/>
      <c r="H22" s="6"/>
      <c r="I22" s="6"/>
      <c r="J22" s="6"/>
      <c r="K22" s="6"/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Q1,Q2.</vt:lpstr>
      <vt:lpstr>Q3,Q4</vt:lpstr>
      <vt:lpstr>Q5,Q6</vt:lpstr>
      <vt:lpstr>Q7,Q8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Prem Gupta</cp:lastModifiedBy>
  <dcterms:created xsi:type="dcterms:W3CDTF">2015-06-05T18:17:20Z</dcterms:created>
  <dcterms:modified xsi:type="dcterms:W3CDTF">2026-01-19T14:50:38Z</dcterms:modified>
</cp:coreProperties>
</file>